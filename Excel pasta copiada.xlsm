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ucas\OneDrive\Documentos\ALURA\Formação Excel\"/>
    </mc:Choice>
  </mc:AlternateContent>
  <xr:revisionPtr revIDLastSave="0" documentId="13_ncr:1_{9D66A0D5-DF85-4F7D-ABEB-49B150A7D81E}" xr6:coauthVersionLast="47" xr6:coauthVersionMax="47" xr10:uidLastSave="{00000000-0000-0000-0000-000000000000}"/>
  <bookViews>
    <workbookView xWindow="-120" yWindow="-120" windowWidth="20730" windowHeight="1116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19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S4" i="15"/>
  <c r="AA4" i="15"/>
  <c r="AS10" i="15"/>
  <c r="BB4" i="15"/>
  <c r="AJ4" i="15"/>
  <c r="AA10" i="15"/>
  <c r="AA16" i="15" a="1"/>
  <c r="AA16" i="15" l="1"/>
  <c r="AS16" i="15"/>
  <c r="R16" i="15"/>
  <c r="R10" i="15"/>
  <c r="I10" i="15"/>
  <c r="R4" i="15"/>
  <c r="I4" i="15"/>
  <c r="I16" i="15" l="1"/>
  <c r="B2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<sst xmlns="http://schemas.openxmlformats.org/spreadsheetml/2006/main" count="370" uniqueCount="61">
  <si>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</si>
  <si>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</si>
  <si>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</si>
  <si>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</si>
  <si>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</si>
  <si>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</si>
  <si>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</si>
  <si>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</si>
  <si>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</si>
  <si>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</si>
  <si>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</si>
  <si>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</si>
  <si>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</si>
  <si>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</si>
  <si>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</si>
  <si>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</si>
  <si>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</si>
  <si>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</si>
  <si>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</si>
  <si>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</si>
  <si>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</si>
  <si>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</si>
  <si>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</si>
  <si>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</si>
  <si>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</si>
  <si>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</si>
  <si>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</si>
  <si>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</si>
  <si>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</si>
  <si>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</si>
  <si>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</si>
  <si>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</si>
  <si>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</si>
  <si>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</si>
  <si>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</si>
  <si>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</si>
  <si>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</si>
  <si>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</si>
  <si>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</si>
  <si>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</si>
  <si>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</si>
  <si>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</si>
  <si>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</si>
  <si>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</si>
  <si>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</si>
  <si>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</si>
  <si>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</si>
  <si>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</si>
  <si>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</si>
  <si>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</si>
  <si>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</si>
  <si>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</si>
  <si>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</si>
  <si>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</si>
  <si>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</si>
  <si>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</si>
  <si>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</si>
  <si>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</si>
  <si>
    <t>utilitário pequeno</t>
  </si>
  <si>
    <t>sp</t>
  </si>
  <si>
    <t>*em aberto*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</si>
</sst>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VBA1.xlsm]Tabelas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VBA1.xlsm]Tabelas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VBA1.xlsm]Tabelas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VBA1.xlsm]Tabelas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VBA1.xlsm]Valor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Veículo'!$A$4:$A$6</c:f>
              <c:strCache>
                <c:ptCount val="2"/>
                <c:pt idx="0">
                  <c:v>Utilitário Pequeno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_("R$"* #,##0.00_);_("R$"* \(#,##0.00\);_("R$"* "-"??_);_(@_)</c:formatCode>
                <c:ptCount val="2"/>
                <c:pt idx="0">
                  <c:v>1543.4506122448981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VBA1.xlsm]Valor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Veículo'!$A$4:$A$6</c:f>
              <c:strCache>
                <c:ptCount val="2"/>
                <c:pt idx="0">
                  <c:v>Utilitário Pequeno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_("R$"* #,##0.00_);_("R$"* \(#,##0.00\);_("R$"* "-"??_);_(@_)</c:formatCode>
                <c:ptCount val="2"/>
                <c:pt idx="0">
                  <c:v>1543.4506122448981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132292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Abreu" refreshedDate="44673.549323148145" createdVersion="6" refreshedVersion="7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12-07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74.56268221574345" maxValue="614.77714285714285"/>
    </cacheField>
    <cacheField name="Carga" numFmtId="0">
      <sharedItems containsBlank="1"/>
    </cacheField>
    <cacheField name="Peso (Kg)" numFmtId="0">
      <sharedItems containsString="0" containsBlank="1" containsNumber="1" containsInteger="1" minValue="18" maxValue="100"/>
    </cacheField>
    <cacheField name="Tipo de Veículo" numFmtId="0">
      <sharedItems containsBlank="1" count="4">
        <s v="Utilitário Pequeno"/>
        <m/>
        <s v="Caminhão Frigorífico" u="1"/>
        <s v="Caminhão Baú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12-09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12-09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19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4">
  <location ref="A3:B6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 v="1"/>
    </i>
    <i>
      <x v="2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AA21" sqref="AA21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8.28515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26" t="s">
        <v>53</v>
      </c>
      <c r="B1" s="51" t="s">
        <v>46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3"/>
      <c r="S1" s="45" t="s">
        <v>54</v>
      </c>
      <c r="T1" s="29" t="s">
        <v>46</v>
      </c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1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15" customHeight="1" thickBot="1" x14ac:dyDescent="0.45">
      <c r="A2" s="27"/>
      <c r="B2" s="48" t="str">
        <f>IF(I16&lt;'Indicadores Base'!A2,"Média de peso abaixo do normal","")</f>
        <v/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S2" s="4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46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3043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25657.207243807243</v>
      </c>
      <c r="S4" s="46"/>
      <c r="T4" s="35"/>
      <c r="U4" s="36"/>
      <c r="V4" s="36"/>
      <c r="W4" s="36"/>
      <c r="X4" s="36"/>
      <c r="Y4" s="36"/>
      <c r="Z4" s="37"/>
      <c r="AA4" s="41">
        <f>GETPIVOTDATA("Soma de Peso (Kg)",'Tabelas Dinamicas'!$D$10)</f>
        <v>3043</v>
      </c>
      <c r="AB4" s="35"/>
      <c r="AC4" s="36"/>
      <c r="AD4" s="36"/>
      <c r="AE4" s="36"/>
      <c r="AF4" s="36"/>
      <c r="AG4" s="36"/>
      <c r="AH4" s="36"/>
      <c r="AI4" s="37"/>
      <c r="AJ4" s="43">
        <f>GETPIVOTDATA("Valor do Contrato",'Tabelas Dinamicas'!$A$10)</f>
        <v>25657.207243807243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3043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25657.207243807243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46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46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46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46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46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50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30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46"/>
      <c r="T10" s="35"/>
      <c r="U10" s="36"/>
      <c r="V10" s="36"/>
      <c r="W10" s="36"/>
      <c r="X10" s="36"/>
      <c r="Y10" s="36"/>
      <c r="Z10" s="37"/>
      <c r="AA10" s="41">
        <f>GETPIVOTDATA("Contagem de Destino",'Tabelas Dinamicas'!$D$10)</f>
        <v>30</v>
      </c>
      <c r="AB10" s="35"/>
      <c r="AC10" s="36"/>
      <c r="AD10" s="36"/>
      <c r="AE10" s="36"/>
      <c r="AF10" s="36"/>
      <c r="AG10" s="36"/>
      <c r="AH10" s="36"/>
      <c r="AI10" s="37"/>
      <c r="AJ10" s="41">
        <f>COUNTIF(SituacaoPartidas, "Em Aberto - Atrasada")</f>
        <v>10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30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46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46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46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46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46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101.43333333333334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46"/>
      <c r="T16" s="35"/>
      <c r="U16" s="36"/>
      <c r="V16" s="36"/>
      <c r="W16" s="36"/>
      <c r="X16" s="36"/>
      <c r="Y16" s="36"/>
      <c r="Z16" s="37"/>
      <c r="AA16" s="41" cm="1">
        <f t="array" ref="AA16">fnCalculaMediaPeso(AA10,AA4)</f>
        <v>10</v>
      </c>
      <c r="AB16" s="35"/>
      <c r="AC16" s="36"/>
      <c r="AD16" s="36"/>
      <c r="AE16" s="36"/>
      <c r="AF16" s="36"/>
      <c r="AG16" s="36"/>
      <c r="AH16" s="36"/>
      <c r="AI16" s="37"/>
      <c r="AJ16" s="41">
        <f>COUNTIF(SituacaoChegadas, "Em aberto*")</f>
        <v>11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101.43333333333334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46"/>
      <c r="T17" s="35"/>
      <c r="U17" s="36"/>
      <c r="V17" s="36"/>
      <c r="W17" s="36"/>
      <c r="X17" s="36"/>
      <c r="Y17" s="36"/>
      <c r="Z17" s="37"/>
      <c r="AA17" s="41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46"/>
      <c r="T18" s="35"/>
      <c r="U18" s="36"/>
      <c r="V18" s="36"/>
      <c r="W18" s="36"/>
      <c r="X18" s="36"/>
      <c r="Y18" s="36"/>
      <c r="Z18" s="37"/>
      <c r="AA18" s="41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46"/>
      <c r="T19" s="35"/>
      <c r="U19" s="36"/>
      <c r="V19" s="36"/>
      <c r="W19" s="36"/>
      <c r="X19" s="36"/>
      <c r="Y19" s="36"/>
      <c r="Z19" s="37"/>
      <c r="AA19" s="41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47"/>
      <c r="T20" s="38"/>
      <c r="U20" s="39"/>
      <c r="V20" s="39"/>
      <c r="W20" s="39"/>
      <c r="X20" s="39"/>
      <c r="Y20" s="39"/>
      <c r="Z20" s="40"/>
      <c r="AA20" s="42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/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6"/>
  <sheetViews>
    <sheetView workbookViewId="0">
      <selection activeCell="B5" sqref="B5"/>
    </sheetView>
  </sheetViews>
  <sheetFormatPr defaultRowHeight="15" x14ac:dyDescent="0.25"/>
  <cols>
    <col min="1" max="1" width="18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22</v>
      </c>
      <c r="B4" s="25">
        <v>1543.4506122448981</v>
      </c>
    </row>
    <row r="5" spans="1:2" x14ac:dyDescent="0.25">
      <c r="A5" s="24" t="s">
        <v>57</v>
      </c>
      <c r="B5" s="25"/>
    </row>
    <row r="6" spans="1:2" x14ac:dyDescent="0.25">
      <c r="A6" s="24" t="s">
        <v>42</v>
      </c>
      <c r="B6" s="25">
        <v>1543.4506122448981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J3" sqref="J3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 t="s">
        <v>58</v>
      </c>
      <c r="H2" s="20" t="s">
        <v>59</v>
      </c>
      <c r="I2" s="20"/>
      <c r="J2" s="20" t="s">
        <v>60</v>
      </c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17</v>
      </c>
      <c r="B6" s="5">
        <v>43806</v>
      </c>
      <c r="C6" t="s">
        <v>19</v>
      </c>
      <c r="D6" s="3">
        <v>614.77714285714285</v>
      </c>
      <c r="E6" t="s">
        <v>39</v>
      </c>
      <c r="F6" s="4">
        <v>18</v>
      </c>
      <c r="G6" t="s">
        <v>22</v>
      </c>
      <c r="H6" s="4" t="s">
        <v>27</v>
      </c>
      <c r="I6" s="5">
        <v>43808</v>
      </c>
      <c r="J6" s="4" t="s">
        <v>52</v>
      </c>
      <c r="K6" s="4" t="s">
        <v>27</v>
      </c>
      <c r="L6" s="5">
        <v>43808</v>
      </c>
      <c r="M6" s="4" t="s">
        <v>52</v>
      </c>
    </row>
    <row r="7" spans="1:13" x14ac:dyDescent="0.25">
      <c r="A7" t="s">
        <v>17</v>
      </c>
      <c r="B7" s="5">
        <v>43840</v>
      </c>
      <c r="C7" t="s">
        <v>19</v>
      </c>
      <c r="D7" s="3">
        <v>174.56268221574345</v>
      </c>
      <c r="E7" t="s">
        <v>39</v>
      </c>
      <c r="F7" s="4">
        <v>25</v>
      </c>
      <c r="G7" t="s">
        <v>22</v>
      </c>
      <c r="H7" s="4" t="s">
        <v>27</v>
      </c>
      <c r="I7" s="5">
        <v>43842</v>
      </c>
      <c r="J7" s="4" t="s">
        <v>26</v>
      </c>
      <c r="K7" s="4" t="s">
        <v>27</v>
      </c>
      <c r="L7" s="5">
        <v>43842</v>
      </c>
      <c r="M7" s="4" t="s">
        <v>26</v>
      </c>
    </row>
    <row r="8" spans="1:13" x14ac:dyDescent="0.25">
      <c r="A8" t="s">
        <v>17</v>
      </c>
      <c r="B8" s="5">
        <v>43852</v>
      </c>
      <c r="C8" t="s">
        <v>19</v>
      </c>
      <c r="D8" s="3">
        <v>251.37026239067058</v>
      </c>
      <c r="E8" t="s">
        <v>39</v>
      </c>
      <c r="F8" s="4">
        <v>36</v>
      </c>
      <c r="G8" t="s">
        <v>22</v>
      </c>
      <c r="H8" s="4" t="s">
        <v>27</v>
      </c>
      <c r="I8" s="5">
        <v>43854</v>
      </c>
      <c r="J8" s="4" t="s">
        <v>26</v>
      </c>
      <c r="K8" s="4" t="s">
        <v>27</v>
      </c>
      <c r="L8" s="5">
        <v>43854</v>
      </c>
      <c r="M8" s="4" t="s">
        <v>26</v>
      </c>
    </row>
    <row r="9" spans="1:13" x14ac:dyDescent="0.25">
      <c r="A9" t="s">
        <v>17</v>
      </c>
      <c r="B9" s="5">
        <v>43852</v>
      </c>
      <c r="C9" t="s">
        <v>19</v>
      </c>
      <c r="D9" s="3">
        <v>251.37026239067058</v>
      </c>
      <c r="E9" t="s">
        <v>39</v>
      </c>
      <c r="F9" s="4">
        <v>100</v>
      </c>
      <c r="G9" t="s">
        <v>22</v>
      </c>
      <c r="H9" s="4" t="s">
        <v>27</v>
      </c>
      <c r="I9" s="5">
        <v>43854</v>
      </c>
      <c r="J9" s="4" t="s">
        <v>26</v>
      </c>
      <c r="K9" s="4" t="s">
        <v>27</v>
      </c>
      <c r="L9" s="5">
        <v>43854</v>
      </c>
      <c r="M9" s="4" t="s">
        <v>26</v>
      </c>
    </row>
    <row r="10" spans="1:13" x14ac:dyDescent="0.25">
      <c r="A10" t="s">
        <v>17</v>
      </c>
      <c r="B10" s="5">
        <v>43852</v>
      </c>
      <c r="C10" t="s">
        <v>19</v>
      </c>
      <c r="D10" s="3">
        <v>251.37026239067058</v>
      </c>
      <c r="E10" t="s">
        <v>39</v>
      </c>
      <c r="F10" s="4">
        <v>100</v>
      </c>
      <c r="G10" t="s">
        <v>22</v>
      </c>
      <c r="H10" s="4" t="s">
        <v>27</v>
      </c>
      <c r="I10" s="5">
        <v>43854</v>
      </c>
      <c r="J10" s="4" t="s">
        <v>26</v>
      </c>
      <c r="K10" s="4" t="s">
        <v>27</v>
      </c>
      <c r="L10" s="5">
        <v>43854</v>
      </c>
      <c r="M10" s="4" t="s">
        <v>26</v>
      </c>
    </row>
    <row r="11" spans="1:13" x14ac:dyDescent="0.25">
      <c r="B11" s="5"/>
      <c r="D11" s="3"/>
      <c r="F11" s="4"/>
      <c r="H11" s="4"/>
      <c r="I11" s="5"/>
      <c r="J11" s="4"/>
      <c r="K11" s="4"/>
      <c r="L11" s="5"/>
      <c r="M11" s="4"/>
    </row>
    <row r="12" spans="1:13" x14ac:dyDescent="0.25">
      <c r="B12" s="5"/>
      <c r="D12" s="3"/>
      <c r="F12" s="4"/>
      <c r="H12" s="4"/>
      <c r="I12" s="5"/>
      <c r="J12" s="4"/>
      <c r="K12" s="4"/>
      <c r="L12" s="5"/>
      <c r="M12" s="4"/>
    </row>
    <row r="13" spans="1:13" x14ac:dyDescent="0.25">
      <c r="B13" s="5"/>
      <c r="D13" s="3"/>
      <c r="F13" s="4"/>
      <c r="H13" s="4"/>
      <c r="I13" s="5"/>
      <c r="J13" s="4"/>
      <c r="K13" s="4"/>
      <c r="L13" s="5"/>
      <c r="M13" s="4"/>
    </row>
    <row r="14" spans="1:13" x14ac:dyDescent="0.25">
      <c r="B14" s="5"/>
      <c r="D14" s="3"/>
      <c r="F14" s="4"/>
      <c r="H14" s="4"/>
      <c r="I14" s="5"/>
      <c r="J14" s="4"/>
      <c r="K14" s="4"/>
      <c r="L14" s="5"/>
      <c r="M14" s="4"/>
    </row>
    <row r="15" spans="1:13" x14ac:dyDescent="0.25">
      <c r="B15" s="5"/>
      <c r="D15" s="3"/>
      <c r="F15" s="4"/>
      <c r="H15" s="4"/>
      <c r="I15" s="5"/>
      <c r="J15" s="4"/>
      <c r="K15" s="4"/>
      <c r="L15" s="5"/>
      <c r="M15" s="4"/>
    </row>
    <row r="16" spans="1:13" x14ac:dyDescent="0.25">
      <c r="B16" s="5"/>
      <c r="D16" s="3"/>
      <c r="F16" s="4"/>
      <c r="H16" s="4"/>
      <c r="I16" s="5"/>
      <c r="J16" s="4"/>
      <c r="K16" s="4"/>
      <c r="L16" s="5"/>
      <c r="M16" s="4"/>
    </row>
    <row r="17" spans="2:13" x14ac:dyDescent="0.25">
      <c r="B17" s="5"/>
      <c r="D17" s="3"/>
      <c r="F17" s="4"/>
      <c r="H17" s="4"/>
      <c r="I17" s="5"/>
      <c r="J17" s="4"/>
      <c r="K17" s="4"/>
      <c r="L17" s="5"/>
      <c r="M17" s="4"/>
    </row>
    <row r="18" spans="2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2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2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2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2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2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2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2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2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2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2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2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2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2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2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Lucas Abreu</cp:lastModifiedBy>
  <dcterms:created xsi:type="dcterms:W3CDTF">2020-01-28T18:38:11Z</dcterms:created>
  <dcterms:modified xsi:type="dcterms:W3CDTF">2022-04-23T00:53:29Z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