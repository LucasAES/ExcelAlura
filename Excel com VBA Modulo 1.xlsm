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"/>
    </mc:Choice>
  </mc:AlternateContent>
  <xr:revisionPtr revIDLastSave="0" documentId="13_ncr:1_{0F1F7269-6EC3-4AD9-8B29-67C97C67A349}" xr6:coauthVersionLast="47" xr6:coauthVersionMax="47" xr10:uidLastSave="{00000000-0000-0000-0000-000000000000}"/>
  <bookViews>
    <workbookView xWindow="-120" yWindow="-120" windowWidth="20730" windowHeight="11160" xr2:uid="{C1B61AA5-C757-4C13-B5B2-E36863709022}"/>
  </bookViews>
  <sheets>
    <sheet name="Produtos Infantis" sheetId="1" r:id="rId1"/>
    <sheet name="Dado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E124" i="1" a="1"/>
  <c r="F5" i="1" a="1"/>
  <c r="F16" i="1" a="1"/>
  <c r="F12" i="1" a="1"/>
  <c r="F91" i="1" a="1"/>
  <c r="F122" i="1" a="1"/>
  <c r="F113" i="1" a="1"/>
  <c r="F39" i="1" a="1"/>
  <c r="F15" i="1" a="1"/>
  <c r="F77" i="1" a="1"/>
  <c r="F3" i="1" a="1"/>
  <c r="F119" i="1" a="1"/>
  <c r="F56" i="1" a="1"/>
  <c r="F75" i="1" a="1"/>
  <c r="F115" i="1" a="1"/>
  <c r="F45" i="1" a="1"/>
  <c r="F109" i="1" a="1"/>
  <c r="F27" i="1" a="1"/>
  <c r="F72" i="1" a="1"/>
  <c r="F26" i="1" a="1"/>
  <c r="F76" i="1" a="1"/>
  <c r="F52" i="1" a="1"/>
  <c r="F63" i="1" a="1"/>
  <c r="F96" i="1" a="1"/>
  <c r="F10" i="1" a="1"/>
  <c r="F89" i="1" a="1"/>
  <c r="F106" i="1" a="1"/>
  <c r="F59" i="1" a="1"/>
  <c r="F36" i="1" a="1"/>
  <c r="F73" i="1" a="1"/>
  <c r="F35" i="1" a="1"/>
  <c r="F43" i="1" a="1"/>
  <c r="F95" i="1" a="1"/>
  <c r="F81" i="1" a="1"/>
  <c r="F82" i="1" a="1"/>
  <c r="F33" i="1" a="1"/>
  <c r="F55" i="1" a="1"/>
  <c r="F103" i="1" a="1"/>
  <c r="F40" i="1" a="1"/>
  <c r="F19" i="1" a="1"/>
  <c r="F121" i="1" a="1"/>
  <c r="F51" i="1" a="1"/>
  <c r="F84" i="1" a="1"/>
  <c r="F83" i="1" a="1"/>
  <c r="F90" i="1" a="1"/>
  <c r="F30" i="1" a="1"/>
  <c r="F112" i="1" a="1"/>
  <c r="F9" i="1" a="1"/>
  <c r="F111" i="1" a="1"/>
  <c r="F37" i="1" a="1"/>
  <c r="F28" i="1" a="1"/>
  <c r="F23" i="1" a="1"/>
  <c r="F118" i="1" a="1"/>
  <c r="F79" i="1" a="1"/>
  <c r="F71" i="1" a="1"/>
  <c r="F18" i="1" a="1"/>
  <c r="F22" i="1" a="1"/>
  <c r="F66" i="1" a="1"/>
  <c r="F50" i="1" a="1"/>
  <c r="F80" i="1" a="1"/>
  <c r="F87" i="1" a="1"/>
  <c r="F17" i="1" a="1"/>
  <c r="F100" i="1" a="1"/>
  <c r="F54" i="1" a="1"/>
  <c r="F108" i="1" a="1"/>
  <c r="F86" i="1" a="1"/>
  <c r="F62" i="1" a="1"/>
  <c r="F97" i="1" a="1"/>
  <c r="F6" i="1" a="1"/>
  <c r="F78" i="1" a="1"/>
  <c r="F64" i="1" a="1"/>
  <c r="F69" i="1" a="1"/>
  <c r="F46" i="1" a="1"/>
  <c r="F47" i="1" a="1"/>
  <c r="F53" i="1" a="1"/>
  <c r="F68" i="1" a="1"/>
  <c r="F104" i="1" a="1"/>
  <c r="F85" i="1" a="1"/>
  <c r="F93" i="1" a="1"/>
  <c r="H3" i="1" a="1"/>
  <c r="F8" i="1" a="1"/>
  <c r="F60" i="1" a="1"/>
  <c r="F42" i="1" a="1"/>
  <c r="F65" i="1" a="1"/>
  <c r="F92" i="1" a="1"/>
  <c r="F67" i="1" a="1"/>
  <c r="F21" i="1" a="1"/>
  <c r="F25" i="1" a="1"/>
  <c r="F88" i="1" a="1"/>
  <c r="F105" i="1" a="1"/>
  <c r="F98" i="1" a="1"/>
  <c r="F4" i="1" a="1"/>
  <c r="F110" i="1" a="1"/>
  <c r="F116" i="1" a="1"/>
  <c r="F7" i="1" a="1"/>
  <c r="F38" i="1" a="1"/>
  <c r="F24" i="1" a="1"/>
  <c r="F107" i="1" a="1"/>
  <c r="F99" i="1" a="1"/>
  <c r="F13" i="1" a="1"/>
  <c r="F94" i="1" a="1"/>
  <c r="F57" i="1" a="1"/>
  <c r="F120" i="1" a="1"/>
  <c r="F32" i="1" a="1"/>
  <c r="F101" i="1" a="1"/>
  <c r="F11" i="1" a="1"/>
  <c r="F31" i="1" a="1"/>
  <c r="F41" i="1" a="1"/>
  <c r="F58" i="1" a="1"/>
  <c r="F70" i="1" a="1"/>
  <c r="F117" i="1" a="1"/>
  <c r="F61" i="1" a="1"/>
  <c r="F44" i="1" a="1"/>
  <c r="F20" i="1" a="1"/>
  <c r="F49" i="1" a="1"/>
  <c r="F48" i="1" a="1"/>
  <c r="F114" i="1" a="1"/>
  <c r="F74" i="1" a="1"/>
  <c r="F102" i="1" a="1"/>
  <c r="F34" i="1" a="1"/>
  <c r="F14" i="1" a="1"/>
  <c r="F29" i="1" a="1"/>
  <c r="E124" i="1" l="1"/>
  <c r="F3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121" i="1"/>
  <c r="F109" i="1"/>
  <c r="F93" i="1"/>
  <c r="F81" i="1"/>
  <c r="F69" i="1"/>
  <c r="F61" i="1"/>
  <c r="F120" i="1"/>
  <c r="F112" i="1"/>
  <c r="F100" i="1"/>
  <c r="F88" i="1"/>
  <c r="F80" i="1"/>
  <c r="F68" i="1"/>
  <c r="F64" i="1"/>
  <c r="F115" i="1"/>
  <c r="F111" i="1"/>
  <c r="F107" i="1"/>
  <c r="F103" i="1"/>
  <c r="F99" i="1"/>
  <c r="F91" i="1"/>
  <c r="F87" i="1"/>
  <c r="F83" i="1"/>
  <c r="F79" i="1"/>
  <c r="F75" i="1"/>
  <c r="F71" i="1"/>
  <c r="F67" i="1"/>
  <c r="F63" i="1"/>
  <c r="F59" i="1"/>
  <c r="F105" i="1"/>
  <c r="F89" i="1"/>
  <c r="F73" i="1"/>
  <c r="F116" i="1"/>
  <c r="F104" i="1"/>
  <c r="F92" i="1"/>
  <c r="F84" i="1"/>
  <c r="F72" i="1"/>
  <c r="F60" i="1"/>
  <c r="F119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113" i="1"/>
  <c r="F97" i="1"/>
  <c r="F77" i="1"/>
  <c r="F65" i="1"/>
  <c r="F117" i="1"/>
  <c r="F101" i="1"/>
  <c r="F85" i="1"/>
  <c r="F108" i="1"/>
  <c r="F96" i="1"/>
  <c r="F76" i="1"/>
  <c r="F95" i="1"/>
  <c r="H3" i="1"/>
  <c r="B2" i="8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H96" i="1" a="1"/>
  <c r="H14" i="1" a="1"/>
  <c r="H39" i="1" a="1"/>
  <c r="H122" i="1" a="1"/>
  <c r="H85" i="1" a="1"/>
  <c r="H49" i="1" a="1"/>
  <c r="H91" i="1" a="1"/>
  <c r="H105" i="1" a="1"/>
  <c r="H43" i="1" a="1"/>
  <c r="H78" i="1" a="1"/>
  <c r="H107" i="1" a="1"/>
  <c r="H37" i="1" a="1"/>
  <c r="H15" i="1" a="1"/>
  <c r="H51" i="1" a="1"/>
  <c r="H82" i="1" a="1"/>
  <c r="H120" i="1" a="1"/>
  <c r="H29" i="1" a="1"/>
  <c r="H92" i="1" a="1"/>
  <c r="H30" i="1" a="1"/>
  <c r="H57" i="1" a="1"/>
  <c r="H36" i="1" a="1"/>
  <c r="H86" i="1" a="1"/>
  <c r="H27" i="1" a="1"/>
  <c r="H95" i="1" a="1"/>
  <c r="E123" i="1" a="1"/>
  <c r="H33" i="1" a="1"/>
  <c r="H56" i="1" a="1"/>
  <c r="H46" i="1" a="1"/>
  <c r="H5" i="1" a="1"/>
  <c r="H108" i="1" a="1"/>
  <c r="H19" i="1" a="1"/>
  <c r="H117" i="1" a="1"/>
  <c r="H23" i="1" a="1"/>
  <c r="H48" i="1" a="1"/>
  <c r="H116" i="1" a="1"/>
  <c r="H77" i="1" a="1"/>
  <c r="H16" i="1" a="1"/>
  <c r="H66" i="1" a="1"/>
  <c r="H7" i="1" a="1"/>
  <c r="H62" i="1" a="1"/>
  <c r="H40" i="1" a="1"/>
  <c r="H31" i="1" a="1"/>
  <c r="H118" i="1" a="1"/>
  <c r="H67" i="1" a="1"/>
  <c r="H64" i="1" a="1"/>
  <c r="H58" i="1" a="1"/>
  <c r="H21" i="1" a="1"/>
  <c r="H83" i="1" a="1"/>
  <c r="H25" i="1" a="1"/>
  <c r="H17" i="1" a="1"/>
  <c r="H68" i="1" a="1"/>
  <c r="H112" i="1" a="1"/>
  <c r="H11" i="1" a="1"/>
  <c r="H75" i="1" a="1"/>
  <c r="H99" i="1" a="1"/>
  <c r="H50" i="1" a="1"/>
  <c r="H76" i="1" a="1"/>
  <c r="H28" i="1" a="1"/>
  <c r="H54" i="1" a="1"/>
  <c r="H94" i="1" a="1"/>
  <c r="H8" i="1" a="1"/>
  <c r="H89" i="1" a="1"/>
  <c r="H60" i="1" a="1"/>
  <c r="H20" i="1" a="1"/>
  <c r="H102" i="1" a="1"/>
  <c r="H69" i="1" a="1"/>
  <c r="H4" i="1" a="1"/>
  <c r="H93" i="1" a="1"/>
  <c r="H101" i="1" a="1"/>
  <c r="H109" i="1" a="1"/>
  <c r="H6" i="1" a="1"/>
  <c r="H61" i="1" a="1"/>
  <c r="H100" i="1" a="1"/>
  <c r="H115" i="1" a="1"/>
  <c r="H45" i="1" a="1"/>
  <c r="H52" i="1" a="1"/>
  <c r="H10" i="1" a="1"/>
  <c r="H90" i="1" a="1"/>
  <c r="H47" i="1" a="1"/>
  <c r="H97" i="1" a="1"/>
  <c r="H104" i="1" a="1"/>
  <c r="H114" i="1" a="1"/>
  <c r="H18" i="1" a="1"/>
  <c r="H121" i="1" a="1"/>
  <c r="H72" i="1" a="1"/>
  <c r="H98" i="1" a="1"/>
  <c r="H35" i="1" a="1"/>
  <c r="H38" i="1" a="1"/>
  <c r="H88" i="1" a="1"/>
  <c r="H87" i="1" a="1"/>
  <c r="H55" i="1" a="1"/>
  <c r="H41" i="1" a="1"/>
  <c r="H119" i="1" a="1"/>
  <c r="H22" i="1" a="1"/>
  <c r="H24" i="1" a="1"/>
  <c r="H74" i="1" a="1"/>
  <c r="H113" i="1" a="1"/>
  <c r="H110" i="1" a="1"/>
  <c r="H81" i="1" a="1"/>
  <c r="H59" i="1" a="1"/>
  <c r="H111" i="1" a="1"/>
  <c r="H42" i="1" a="1"/>
  <c r="H71" i="1" a="1"/>
  <c r="H26" i="1" a="1"/>
  <c r="H73" i="1" a="1"/>
  <c r="H65" i="1" a="1"/>
  <c r="H34" i="1" a="1"/>
  <c r="H44" i="1" a="1"/>
  <c r="H80" i="1" a="1"/>
  <c r="H106" i="1" a="1"/>
  <c r="H79" i="1" a="1"/>
  <c r="H70" i="1" a="1"/>
  <c r="H12" i="1" a="1"/>
  <c r="H32" i="1" a="1"/>
  <c r="H103" i="1" a="1"/>
  <c r="H53" i="1" a="1"/>
  <c r="H84" i="1" a="1"/>
  <c r="H13" i="1" a="1"/>
  <c r="H9" i="1" a="1"/>
  <c r="H63" i="1" a="1"/>
  <c r="E123" i="1" l="1"/>
  <c r="E125" i="1" s="1"/>
  <c r="H104" i="1"/>
  <c r="H88" i="1"/>
  <c r="H68" i="1"/>
  <c r="H48" i="1"/>
  <c r="H36" i="1"/>
  <c r="H16" i="1"/>
  <c r="H111" i="1"/>
  <c r="H91" i="1"/>
  <c r="H75" i="1"/>
  <c r="H47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116" i="1"/>
  <c r="H96" i="1"/>
  <c r="H76" i="1"/>
  <c r="H56" i="1"/>
  <c r="H40" i="1"/>
  <c r="H24" i="1"/>
  <c r="H8" i="1"/>
  <c r="H119" i="1"/>
  <c r="H99" i="1"/>
  <c r="H55" i="1"/>
  <c r="H120" i="1"/>
  <c r="H92" i="1"/>
  <c r="H64" i="1"/>
  <c r="H20" i="1"/>
  <c r="H103" i="1"/>
  <c r="H83" i="1"/>
  <c r="H63" i="1"/>
  <c r="H117" i="1"/>
  <c r="H105" i="1"/>
  <c r="H97" i="1"/>
  <c r="H85" i="1"/>
  <c r="H73" i="1"/>
  <c r="H65" i="1"/>
  <c r="H57" i="1"/>
  <c r="H53" i="1"/>
  <c r="H49" i="1"/>
  <c r="H45" i="1"/>
  <c r="H41" i="1"/>
  <c r="H33" i="1"/>
  <c r="H29" i="1"/>
  <c r="H25" i="1"/>
  <c r="H21" i="1"/>
  <c r="H17" i="1"/>
  <c r="H13" i="1"/>
  <c r="H9" i="1"/>
  <c r="H5" i="1"/>
  <c r="H108" i="1"/>
  <c r="H84" i="1"/>
  <c r="H72" i="1"/>
  <c r="H52" i="1"/>
  <c r="H32" i="1"/>
  <c r="H12" i="1"/>
  <c r="H107" i="1"/>
  <c r="H87" i="1"/>
  <c r="H71" i="1"/>
  <c r="H51" i="1"/>
  <c r="H121" i="1"/>
  <c r="H113" i="1"/>
  <c r="H109" i="1"/>
  <c r="H101" i="1"/>
  <c r="H93" i="1"/>
  <c r="H89" i="1"/>
  <c r="H81" i="1"/>
  <c r="H77" i="1"/>
  <c r="H69" i="1"/>
  <c r="H61" i="1"/>
  <c r="H37" i="1"/>
  <c r="H112" i="1"/>
  <c r="H100" i="1"/>
  <c r="H80" i="1"/>
  <c r="H60" i="1"/>
  <c r="H44" i="1"/>
  <c r="H28" i="1"/>
  <c r="H4" i="1"/>
  <c r="H115" i="1"/>
  <c r="H95" i="1"/>
  <c r="H79" i="1"/>
  <c r="H67" i="1"/>
  <c r="H59" i="1"/>
  <c r="H43" i="1"/>
  <c r="H39" i="1"/>
  <c r="H35" i="1"/>
  <c r="H31" i="1"/>
  <c r="H27" i="1"/>
  <c r="H23" i="1"/>
  <c r="H19" i="1"/>
  <c r="H15" i="1"/>
  <c r="H11" i="1"/>
  <c r="H7" i="1"/>
  <c r="C125" i="1"/>
  <c r="D1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<sst xmlns="http://schemas.openxmlformats.org/spreadsheetml/2006/main" count="140" uniqueCount="19">
  <si>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</si>
  <si>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</si>
  <si>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</si>
  <si>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</si>
  <si>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</si>
  <si>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</si>
  <si>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</si>
  <si>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</si>
  <si>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</si>
  <si>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</si>
  <si>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</si>
  <si>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</si>
  <si>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</si>
  <si>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</si>
  <si>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</si>
  <si>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</si>
  <si>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Alerta de Estoque</t>
  </si>
  <si>
    <t>Nossa_SE</t>
  </si>
  <si>
    <t>Maior Valor 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</si>
</sst>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164" fontId="7" fillId="0" borderId="1" xfId="0" applyNumberFormat="1" applyFont="1" applyFill="1" applyBorder="1" applyAlignment="1">
      <alignment horizontal="left"/>
    </xf>
    <xf numFmtId="0" fontId="5" fillId="3" borderId="7" xfId="0" applyFont="1" applyFill="1" applyBorder="1" applyAlignment="1">
      <alignment horizontal="right"/>
    </xf>
    <xf numFmtId="0" fontId="5" fillId="3" borderId="9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right"/>
    </xf>
    <xf numFmtId="0" fontId="5" fillId="3" borderId="9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1247775</xdr:colOff>
          <xdr:row>0</xdr:row>
          <xdr:rowOff>38100</xdr:rowOff>
        </xdr:from>
        <xdr:to>
          <xdr:col>5</xdr:col>
          <xdr:colOff>752475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5"/>
  <sheetViews>
    <sheetView showGridLines="0" tabSelected="1" zoomScale="98" zoomScaleNormal="98" workbookViewId="0">
      <pane ySplit="2" topLeftCell="A109" activePane="bottomLeft" state="frozen"/>
      <selection pane="bottomLeft" activeCell="E124" sqref="E124"/>
    </sheetView>
  </sheetViews>
  <sheetFormatPr defaultRowHeight="15" x14ac:dyDescent="0.25"/>
  <cols>
    <col min="1" max="1" width="33.42578125" style="1" customWidth="1"/>
    <col min="2" max="8" width="21.42578125" style="1" customWidth="1"/>
    <col min="9" max="16384" width="9.140625" style="1"/>
  </cols>
  <sheetData>
    <row r="1" spans="1:8" ht="21.75" thickBot="1" x14ac:dyDescent="0.4">
      <c r="A1" s="23" t="s">
        <v>3</v>
      </c>
      <c r="B1" s="24"/>
      <c r="C1" s="24"/>
      <c r="D1" s="24"/>
      <c r="E1" s="24"/>
      <c r="F1" s="24"/>
      <c r="G1" s="24"/>
      <c r="H1" s="25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 "Estoque Baixo", "Estoque Normal")</f>
        <v>Estoque Baixo</v>
      </c>
      <c r="G3" s="11" t="str">
        <f t="shared" ref="G3:G34" si="1">IF(D3&lt;10, "Estoque Baixo", 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 "Estoque Baixo", "Estoque Normal")</f>
        <v>Estoque Baixo</v>
      </c>
      <c r="G4" s="11" t="str">
        <f t="shared" si="1"/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 "Estoque Baixo", 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 "Estoque Baixo", 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 "Estoque Baixo", 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 "Estoque Baixo", "Estoque Normal")</f>
        <v>Estoque Baixo</v>
      </c>
      <c r="G8" s="11" t="str">
        <f t="shared" si="1"/>
        <v>Estoque Normal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 "Estoque Baixo", "Estoque Normal")</f>
        <v>Estoque Baixo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 "Estoque Baixo", "Estoque Normal")</f>
        <v>Estoque Baixo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 "Estoque Baixo", 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 "Estoque Baixo", 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 "Estoque Baixo", 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 "Estoque Baixo", 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 "Estoque Baixo", 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 "Estoque Baixo", "Estoque Normal")</f>
        <v>Estoque Baixo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 "Estoque Baixo", "Estoque Normal")</f>
        <v>Estoque Baixo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 "Estoque Baixo", "Estoque Normal")</f>
        <v>Estoque Baixo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 "Estoque Baixo", "Estoque Normal")</f>
        <v>Estoque Baixo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 "Estoque Baixo", 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 "Estoque Baixo", 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 "Estoque Baixo", 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 "Estoque Baixo", 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 "Estoque Baixo", "Estoque Normal")</f>
        <v>Estoque Baixo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 "Estoque Baixo", 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 "Estoque Baixo", 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 "Estoque Baixo", 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 "Estoque Baixo", 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 "Estoque Baixo", 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 "Estoque Baixo", 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 "Estoque Baixo", 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 "Estoque Baixo", 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 "Estoque Baixo", 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 "Estoque Baixo", "Estoque Normal")</f>
        <v>Estoque Baixo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 "Estoque Baixo", "Estoque Normal")</f>
        <v>Estoque Baixo</v>
      </c>
      <c r="G35" s="11" t="str">
        <f t="shared" ref="G35:G66" si="3">IF(D35&lt;10, "Estoque Baixo", "Estoque Normal")</f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 "Estoque Baixo", "Estoque Normal")</f>
        <v>Estoque Baixo</v>
      </c>
      <c r="G36" s="11" t="str">
        <f t="shared" si="3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 "Estoque Baixo", "Estoque Normal")</f>
        <v>Estoque Baixo</v>
      </c>
      <c r="G37" s="11" t="str">
        <f t="shared" si="3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 "Estoque Baixo", "Estoque Normal")</f>
        <v>Estoque Baixo</v>
      </c>
      <c r="G38" s="11" t="str">
        <f t="shared" si="3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 "Estoque Baixo", "Estoque Normal")</f>
        <v>Estoque Baixo</v>
      </c>
      <c r="G39" s="11" t="str">
        <f t="shared" si="3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 "Estoque Baixo", "Estoque Normal")</f>
        <v>Estoque Baixo</v>
      </c>
      <c r="G40" s="11" t="str">
        <f t="shared" si="3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 "Estoque Baixo", "Estoque Normal")</f>
        <v>Estoque Baixo</v>
      </c>
      <c r="G41" s="11" t="str">
        <f t="shared" si="3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 "Estoque Baixo", "Estoque Normal")</f>
        <v>Estoque Baixo</v>
      </c>
      <c r="G42" s="11" t="str">
        <f t="shared" si="3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 "Estoque Baixo", "Estoque Normal")</f>
        <v>Estoque Baixo</v>
      </c>
      <c r="G43" s="11" t="str">
        <f t="shared" si="3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 "Estoque Baixo", "Estoque Normal")</f>
        <v>Estoque Baixo</v>
      </c>
      <c r="G44" s="11" t="str">
        <f t="shared" si="3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 "Estoque Baixo", "Estoque Normal")</f>
        <v>Estoque Baixo</v>
      </c>
      <c r="G45" s="11" t="str">
        <f t="shared" si="3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 "Estoque Baixo", "Estoque Normal")</f>
        <v>Estoque Baixo</v>
      </c>
      <c r="G46" s="11" t="str">
        <f t="shared" si="3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 "Estoque Baixo", "Estoque Normal")</f>
        <v>Estoque Baixo</v>
      </c>
      <c r="G47" s="11" t="str">
        <f t="shared" si="3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 "Estoque Baixo", "Estoque Normal")</f>
        <v>Estoque Baixo</v>
      </c>
      <c r="G48" s="11" t="str">
        <f t="shared" si="3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 "Estoque Baixo", "Estoque Normal")</f>
        <v>Estoque Baixo</v>
      </c>
      <c r="G49" s="11" t="str">
        <f t="shared" si="3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 "Estoque Baixo", "Estoque Normal")</f>
        <v>Estoque Baixo</v>
      </c>
      <c r="G50" s="11" t="str">
        <f t="shared" si="3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 "Estoque Baixo", "Estoque Normal")</f>
        <v>Estoque Baixo</v>
      </c>
      <c r="G51" s="11" t="str">
        <f t="shared" si="3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 "Estoque Baixo", "Estoque Normal")</f>
        <v>Estoque Baixo</v>
      </c>
      <c r="G52" s="11" t="str">
        <f t="shared" si="3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 "Estoque Baixo", "Estoque Normal")</f>
        <v>Estoque Baixo</v>
      </c>
      <c r="G53" s="11" t="str">
        <f t="shared" si="3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 "Estoque Baixo", "Estoque Normal")</f>
        <v>Estoque Baixo</v>
      </c>
      <c r="G54" s="11" t="str">
        <f t="shared" si="3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 "Estoque Baixo", "Estoque Normal")</f>
        <v>Estoque Baixo</v>
      </c>
      <c r="G55" s="11" t="str">
        <f t="shared" si="3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 "Estoque Baixo", "Estoque Normal")</f>
        <v>Estoque Baixo</v>
      </c>
      <c r="G56" s="11" t="str">
        <f t="shared" si="3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 "Estoque Baixo", "Estoque Normal")</f>
        <v>Estoque Baixo</v>
      </c>
      <c r="G57" s="11" t="str">
        <f t="shared" si="3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 "Estoque Baixo", "Estoque Normal")</f>
        <v>Estoque Baixo</v>
      </c>
      <c r="G58" s="11" t="str">
        <f t="shared" si="3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 "Estoque Baixo", "Estoque Normal")</f>
        <v>Estoque Normal</v>
      </c>
      <c r="G59" s="11" t="str">
        <f t="shared" si="3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 "Estoque Baixo", "Estoque Normal")</f>
        <v>Estoque Baixo</v>
      </c>
      <c r="G60" s="11" t="str">
        <f t="shared" si="3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 "Estoque Baixo", "Estoque Normal")</f>
        <v>Estoque Baixo</v>
      </c>
      <c r="G61" s="11" t="str">
        <f t="shared" si="3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 "Estoque Baixo", "Estoque Normal")</f>
        <v>Estoque Baixo</v>
      </c>
      <c r="G62" s="11" t="str">
        <f t="shared" si="3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 "Estoque Baixo", "Estoque Normal")</f>
        <v>Estoque Baixo</v>
      </c>
      <c r="G63" s="11" t="str">
        <f t="shared" si="3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 "Estoque Baixo", "Estoque Normal")</f>
        <v>Estoque Baixo</v>
      </c>
      <c r="G64" s="11" t="str">
        <f t="shared" si="3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 "Estoque Baixo", "Estoque Normal")</f>
        <v>Estoque Baixo</v>
      </c>
      <c r="G65" s="11" t="str">
        <f t="shared" si="3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 "Estoque Baixo", "Estoque Normal")</f>
        <v>Estoque Baixo</v>
      </c>
      <c r="G66" s="11" t="str">
        <f t="shared" si="3"/>
        <v>Estoque Normal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4">C67*D67</f>
        <v>1197</v>
      </c>
      <c r="F67" s="11" t="str" cm="1">
        <f t="array" ref="F67">Nossa_SE(D67, "Estoque Baixo", "Estoque Normal")</f>
        <v>Estoque Baixo</v>
      </c>
      <c r="G67" s="11" t="str">
        <f t="shared" ref="G67:G98" si="5">IF(D67&lt;10, "Estoque Baixo", "Estoque Normal")</f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4"/>
        <v>1995</v>
      </c>
      <c r="F68" s="11" t="str" cm="1">
        <f t="array" ref="F68">Nossa_SE(D68, "Estoque Baixo", "Estoque Normal")</f>
        <v>Estoque Baixo</v>
      </c>
      <c r="G68" s="11" t="str">
        <f t="shared" si="5"/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4"/>
        <v>171</v>
      </c>
      <c r="F69" s="11" t="str" cm="1">
        <f t="array" ref="F69">Nossa_SE(D69, "Estoque Baixo", "Estoque Normal")</f>
        <v>Estoque Baixo</v>
      </c>
      <c r="G69" s="11" t="str">
        <f t="shared" si="5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4"/>
        <v>1624.5</v>
      </c>
      <c r="F70" s="11" t="str" cm="1">
        <f t="array" ref="F70">Nossa_SE(D70, "Estoque Baixo", "Estoque Normal")</f>
        <v>Estoque Baixo</v>
      </c>
      <c r="G70" s="11" t="str">
        <f t="shared" si="5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4"/>
        <v>513</v>
      </c>
      <c r="F71" s="11" t="str" cm="1">
        <f t="array" ref="F71">Nossa_SE(D71, "Estoque Baixo", "Estoque Normal")</f>
        <v>Estoque Baixo</v>
      </c>
      <c r="G71" s="11" t="str">
        <f t="shared" si="5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4"/>
        <v>1276.8</v>
      </c>
      <c r="F72" s="11" t="str" cm="1">
        <f t="array" ref="F72">Nossa_SE(D72, "Estoque Baixo", "Estoque Normal")</f>
        <v>Estoque Baixo</v>
      </c>
      <c r="G72" s="11" t="str">
        <f t="shared" si="5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4"/>
        <v>718.19999999999993</v>
      </c>
      <c r="F73" s="11" t="str" cm="1">
        <f t="array" ref="F73">Nossa_SE(D73, "Estoque Baixo", "Estoque Normal")</f>
        <v>Estoque Baixo</v>
      </c>
      <c r="G73" s="11" t="str">
        <f t="shared" si="5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4"/>
        <v>1197</v>
      </c>
      <c r="F74" s="11" t="str" cm="1">
        <f t="array" ref="F74">Nossa_SE(D74, "Estoque Baixo", "Estoque Normal")</f>
        <v>Estoque Baixo</v>
      </c>
      <c r="G74" s="11" t="str">
        <f t="shared" si="5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4"/>
        <v>2137.5</v>
      </c>
      <c r="F75" s="11" t="str" cm="1">
        <f t="array" ref="F75">Nossa_SE(D75, "Estoque Baixo", "Estoque Normal")</f>
        <v>Estoque Baixo</v>
      </c>
      <c r="G75" s="11" t="str">
        <f t="shared" si="5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4"/>
        <v>1368</v>
      </c>
      <c r="F76" s="11" t="str" cm="1">
        <f t="array" ref="F76">Nossa_SE(D76, "Estoque Baixo", "Estoque Normal")</f>
        <v>Estoque Baixo</v>
      </c>
      <c r="G76" s="11" t="str">
        <f t="shared" si="5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4"/>
        <v>2137.5</v>
      </c>
      <c r="F77" s="11" t="str" cm="1">
        <f t="array" ref="F77">Nossa_SE(D77, "Estoque Baixo", "Estoque Normal")</f>
        <v>Estoque Baixo</v>
      </c>
      <c r="G77" s="11" t="str">
        <f t="shared" si="5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4"/>
        <v>1197</v>
      </c>
      <c r="F78" s="11" t="str" cm="1">
        <f t="array" ref="F78">Nossa_SE(D78, "Estoque Baixo", "Estoque Normal")</f>
        <v>Estoque Baixo</v>
      </c>
      <c r="G78" s="11" t="str">
        <f t="shared" si="5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4"/>
        <v>638.4</v>
      </c>
      <c r="F79" s="11" t="str" cm="1">
        <f t="array" ref="F79">Nossa_SE(D79, "Estoque Baixo", "Estoque Normal")</f>
        <v>Estoque Baixo</v>
      </c>
      <c r="G79" s="11" t="str">
        <f t="shared" si="5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4"/>
        <v>1835.3999999999999</v>
      </c>
      <c r="F80" s="11" t="str" cm="1">
        <f t="array" ref="F80">Nossa_SE(D80, "Estoque Baixo", "Estoque Normal")</f>
        <v>Estoque Baixo</v>
      </c>
      <c r="G80" s="11" t="str">
        <f t="shared" si="5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4"/>
        <v>171</v>
      </c>
      <c r="F81" s="11" t="str" cm="1">
        <f t="array" ref="F81">Nossa_SE(D81, "Estoque Baixo", "Estoque Normal")</f>
        <v>Estoque Baixo</v>
      </c>
      <c r="G81" s="11" t="str">
        <f t="shared" si="5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4"/>
        <v>427.5</v>
      </c>
      <c r="F82" s="11" t="str" cm="1">
        <f t="array" ref="F82">Nossa_SE(D82, "Estoque Baixo", "Estoque Normal")</f>
        <v>Estoque Baixo</v>
      </c>
      <c r="G82" s="11" t="str">
        <f t="shared" si="5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4"/>
        <v>0</v>
      </c>
      <c r="F83" s="11" t="str" cm="1">
        <f t="array" ref="F83">Nossa_SE(D83, "Estoque Baixo", "Estoque Normal")</f>
        <v>Estoque Baixo</v>
      </c>
      <c r="G83" s="11" t="str">
        <f t="shared" si="5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4"/>
        <v>1276.8</v>
      </c>
      <c r="F84" s="11" t="str" cm="1">
        <f t="array" ref="F84">Nossa_SE(D84, "Estoque Baixo", "Estoque Normal")</f>
        <v>Estoque Baixo</v>
      </c>
      <c r="G84" s="11" t="str">
        <f t="shared" si="5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4"/>
        <v>478.79999999999995</v>
      </c>
      <c r="F85" s="11" t="str" cm="1">
        <f t="array" ref="F85">Nossa_SE(D85, "Estoque Baixo", "Estoque Normal")</f>
        <v>Estoque Baixo</v>
      </c>
      <c r="G85" s="11" t="str">
        <f t="shared" si="5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4"/>
        <v>638.4</v>
      </c>
      <c r="F86" s="11" t="str" cm="1">
        <f t="array" ref="F86">Nossa_SE(D86, "Estoque Baixo", "Estoque Normal")</f>
        <v>Estoque Baixo</v>
      </c>
      <c r="G86" s="11" t="str">
        <f t="shared" si="5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4"/>
        <v>684</v>
      </c>
      <c r="F87" s="11" t="str" cm="1">
        <f t="array" ref="F87">Nossa_SE(D87, "Estoque Baixo", "Estoque Normal")</f>
        <v>Estoque Baixo</v>
      </c>
      <c r="G87" s="11" t="str">
        <f t="shared" si="5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4"/>
        <v>0</v>
      </c>
      <c r="F88" s="11" t="str" cm="1">
        <f t="array" ref="F88">Nossa_SE(D88, "Estoque Baixo", "Estoque Normal")</f>
        <v>Estoque Baixo</v>
      </c>
      <c r="G88" s="11" t="str">
        <f t="shared" si="5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4"/>
        <v>427.5</v>
      </c>
      <c r="F89" s="11" t="str" cm="1">
        <f t="array" ref="F89">Nossa_SE(D89, "Estoque Baixo", "Estoque Normal")</f>
        <v>Estoque Baixo</v>
      </c>
      <c r="G89" s="11" t="str">
        <f t="shared" si="5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4"/>
        <v>399</v>
      </c>
      <c r="F90" s="11" t="str" cm="1">
        <f t="array" ref="F90">Nossa_SE(D90, "Estoque Baixo", "Estoque Normal")</f>
        <v>Estoque Baixo</v>
      </c>
      <c r="G90" s="11" t="str">
        <f t="shared" si="5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4"/>
        <v>0</v>
      </c>
      <c r="F91" s="11" t="str" cm="1">
        <f t="array" ref="F91">Nossa_SE(D91, "Estoque Baixo", "Estoque Normal")</f>
        <v>Estoque Baixo</v>
      </c>
      <c r="G91" s="11" t="str">
        <f t="shared" si="5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4"/>
        <v>399</v>
      </c>
      <c r="F92" s="11" t="str" cm="1">
        <f t="array" ref="F92">Nossa_SE(D92, "Estoque Baixo", "Estoque Normal")</f>
        <v>Estoque Baixo</v>
      </c>
      <c r="G92" s="11" t="str">
        <f t="shared" si="5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4"/>
        <v>427.5</v>
      </c>
      <c r="F93" s="11" t="str" cm="1">
        <f t="array" ref="F93">Nossa_SE(D93, "Estoque Baixo", "Estoque Normal")</f>
        <v>Estoque Baixo</v>
      </c>
      <c r="G93" s="11" t="str">
        <f t="shared" si="5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4"/>
        <v>1624.5</v>
      </c>
      <c r="F94" s="11" t="str" cm="1">
        <f t="array" ref="F94">Nossa_SE(D94, "Estoque Baixo", "Estoque Normal")</f>
        <v>Estoque Baixo</v>
      </c>
      <c r="G94" s="11" t="str">
        <f t="shared" si="5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4"/>
        <v>1624.5</v>
      </c>
      <c r="F95" s="11" t="str" cm="1">
        <f t="array" ref="F95">Nossa_SE(D95, "Estoque Baixo", "Estoque Normal")</f>
        <v>Estoque Baixo</v>
      </c>
      <c r="G95" s="11" t="str">
        <f t="shared" si="5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4"/>
        <v>0</v>
      </c>
      <c r="F96" s="11" t="str" cm="1">
        <f t="array" ref="F96">Nossa_SE(D96, "Estoque Baixo", "Estoque Normal")</f>
        <v>Estoque Baixo</v>
      </c>
      <c r="G96" s="11" t="str">
        <f t="shared" si="5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4"/>
        <v>0</v>
      </c>
      <c r="F97" s="11" t="str" cm="1">
        <f t="array" ref="F97">Nossa_SE(D97, "Estoque Baixo", "Estoque Normal")</f>
        <v>Estoque Baixo</v>
      </c>
      <c r="G97" s="11" t="str">
        <f t="shared" si="5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4"/>
        <v>957.59999999999991</v>
      </c>
      <c r="F98" s="11" t="str" cm="1">
        <f t="array" ref="F98">Nossa_SE(D98, "Estoque Baixo", "Estoque Normal")</f>
        <v>Estoque Baixo</v>
      </c>
      <c r="G98" s="11" t="str">
        <f t="shared" si="5"/>
        <v>Estoque Normal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6">C99*D99</f>
        <v>1368</v>
      </c>
      <c r="F99" s="11" t="str" cm="1">
        <f t="array" ref="F99">Nossa_SE(D99, "Estoque Baixo", "Estoque Normal")</f>
        <v>Estoque Baixo</v>
      </c>
      <c r="G99" s="11" t="str">
        <f t="shared" ref="G99:G122" si="7">IF(D99&lt;10, "Estoque Baixo", "Estoque Normal")</f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6"/>
        <v>1368</v>
      </c>
      <c r="F100" s="11" t="str" cm="1">
        <f t="array" ref="F100">Nossa_SE(D100, "Estoque Baixo", "Estoque Normal")</f>
        <v>Estoque Baixo</v>
      </c>
      <c r="G100" s="11" t="str">
        <f t="shared" si="7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6"/>
        <v>1539</v>
      </c>
      <c r="F101" s="11" t="str" cm="1">
        <f t="array" ref="F101">Nossa_SE(D101, "Estoque Baixo", "Estoque Normal")</f>
        <v>Estoque Baixo</v>
      </c>
      <c r="G101" s="11" t="str">
        <f t="shared" si="7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6"/>
        <v>79.8</v>
      </c>
      <c r="F102" s="11" t="str" cm="1">
        <f t="array" ref="F102">Nossa_SE(D102, "Estoque Baixo", "Estoque Normal")</f>
        <v>Estoque Baixo</v>
      </c>
      <c r="G102" s="11" t="str">
        <f t="shared" si="7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6"/>
        <v>79.8</v>
      </c>
      <c r="F103" s="11" t="str" cm="1">
        <f t="array" ref="F103">Nossa_SE(D103, "Estoque Baixo", "Estoque Normal")</f>
        <v>Estoque Baixo</v>
      </c>
      <c r="G103" s="11" t="str">
        <f t="shared" si="7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6"/>
        <v>1675.8</v>
      </c>
      <c r="F104" s="11" t="str" cm="1">
        <f t="array" ref="F104">Nossa_SE(D104, "Estoque Baixo", "Estoque Normal")</f>
        <v>Estoque Baixo</v>
      </c>
      <c r="G104" s="11" t="str">
        <f t="shared" si="7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6"/>
        <v>684</v>
      </c>
      <c r="F105" s="11" t="str" cm="1">
        <f t="array" ref="F105">Nossa_SE(D105, "Estoque Baixo", "Estoque Normal")</f>
        <v>Estoque Baixo</v>
      </c>
      <c r="G105" s="11" t="str">
        <f t="shared" si="7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6"/>
        <v>2137.5</v>
      </c>
      <c r="F106" s="11" t="str" cm="1">
        <f t="array" ref="F106">Nossa_SE(D106, "Estoque Baixo", "Estoque Normal")</f>
        <v>Estoque Baixo</v>
      </c>
      <c r="G106" s="11" t="str">
        <f t="shared" si="7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6"/>
        <v>1368</v>
      </c>
      <c r="F107" s="11" t="str" cm="1">
        <f t="array" ref="F107">Nossa_SE(D107, "Estoque Baixo", "Estoque Normal")</f>
        <v>Estoque Baixo</v>
      </c>
      <c r="G107" s="11" t="str">
        <f t="shared" si="7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6"/>
        <v>239.39999999999998</v>
      </c>
      <c r="F108" s="11" t="str" cm="1">
        <f t="array" ref="F108">Nossa_SE(D108, "Estoque Baixo", "Estoque Normal")</f>
        <v>Estoque Baixo</v>
      </c>
      <c r="G108" s="11" t="str">
        <f t="shared" si="7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6"/>
        <v>159.6</v>
      </c>
      <c r="F109" s="11" t="str" cm="1">
        <f t="array" ref="F109">Nossa_SE(D109, "Estoque Baixo", "Estoque Normal")</f>
        <v>Estoque Baixo</v>
      </c>
      <c r="G109" s="11" t="str">
        <f t="shared" si="7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6"/>
        <v>239.39999999999998</v>
      </c>
      <c r="F110" s="11" t="str" cm="1">
        <f t="array" ref="F110">Nossa_SE(D110, "Estoque Baixo", "Estoque Normal")</f>
        <v>Estoque Baixo</v>
      </c>
      <c r="G110" s="11" t="str">
        <f t="shared" si="7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6"/>
        <v>256.5</v>
      </c>
      <c r="F111" s="11" t="str" cm="1">
        <f t="array" ref="F111">Nossa_SE(D111, "Estoque Baixo", "Estoque Normal")</f>
        <v>Estoque Baixo</v>
      </c>
      <c r="G111" s="11" t="str">
        <f t="shared" si="7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6"/>
        <v>1282.5</v>
      </c>
      <c r="F112" s="11" t="str" cm="1">
        <f t="array" ref="F112">Nossa_SE(D112, "Estoque Baixo", "Estoque Normal")</f>
        <v>Estoque Baixo</v>
      </c>
      <c r="G112" s="11" t="str">
        <f t="shared" si="7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6"/>
        <v>427.5</v>
      </c>
      <c r="F113" s="11" t="str" cm="1">
        <f t="array" ref="F113">Nossa_SE(D113, "Estoque Baixo", "Estoque Normal")</f>
        <v>Estoque Baixo</v>
      </c>
      <c r="G113" s="11" t="str">
        <f t="shared" si="7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6"/>
        <v>159.6</v>
      </c>
      <c r="F114" s="11" t="str" cm="1">
        <f t="array" ref="F114">Nossa_SE(D114, "Estoque Baixo", "Estoque Normal")</f>
        <v>Estoque Baixo</v>
      </c>
      <c r="G114" s="11" t="str">
        <f t="shared" si="7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6"/>
        <v>1197</v>
      </c>
      <c r="F115" s="11" t="str" cm="1">
        <f t="array" ref="F115">Nossa_SE(D115, "Estoque Baixo", "Estoque Normal")</f>
        <v>Estoque Baixo</v>
      </c>
      <c r="G115" s="11" t="str">
        <f t="shared" si="7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6"/>
        <v>0</v>
      </c>
      <c r="F116" s="11" t="str" cm="1">
        <f t="array" ref="F116">Nossa_SE(D116, "Estoque Baixo", "Estoque Normal")</f>
        <v>Estoque Baixo</v>
      </c>
      <c r="G116" s="11" t="str">
        <f t="shared" si="7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6"/>
        <v>0</v>
      </c>
      <c r="F117" s="11" t="str" cm="1">
        <f t="array" ref="F117">Nossa_SE(D117, "Estoque Baixo", "Estoque Normal")</f>
        <v>Estoque Baixo</v>
      </c>
      <c r="G117" s="11" t="str">
        <f t="shared" si="7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6"/>
        <v>513</v>
      </c>
      <c r="F118" s="11" t="str" cm="1">
        <f t="array" ref="F118">Nossa_SE(D118, "Estoque Baixo", "Estoque Normal")</f>
        <v>Estoque Baixo</v>
      </c>
      <c r="G118" s="11" t="str">
        <f t="shared" si="7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6"/>
        <v>171</v>
      </c>
      <c r="F119" s="11" t="str" cm="1">
        <f t="array" ref="F119">Nossa_SE(D119, "Estoque Baixo", "Estoque Normal")</f>
        <v>Estoque Baixo</v>
      </c>
      <c r="G119" s="11" t="str">
        <f t="shared" si="7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6"/>
        <v>1995</v>
      </c>
      <c r="F120" s="11" t="str" cm="1">
        <f t="array" ref="F120">Nossa_SE(D120, "Estoque Baixo", "Estoque Normal")</f>
        <v>Estoque Baixo</v>
      </c>
      <c r="G120" s="11" t="str">
        <f t="shared" si="7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6"/>
        <v>1356.6</v>
      </c>
      <c r="F121" s="11" t="str" cm="1">
        <f t="array" ref="F121">Nossa_SE(D121, "Estoque Baixo", "Estoque Normal")</f>
        <v>Estoque Baixo</v>
      </c>
      <c r="G121" s="11" t="str">
        <f t="shared" si="7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6"/>
        <v>1197</v>
      </c>
      <c r="F122" s="11" t="str" cm="1">
        <f t="array" ref="F122">Nossa_SE(D122, "Estoque Baixo", "Estoque Normal")</f>
        <v>Estoque Baixo</v>
      </c>
      <c r="G122" s="11" t="str">
        <f t="shared" si="7"/>
        <v>Estoque Normal</v>
      </c>
      <c r="H122" s="11" cm="1">
        <f t="array" ref="H122">Nossa_MULT(C122,D122)</f>
        <v>1197</v>
      </c>
    </row>
    <row r="123" spans="1:8" s="8" customFormat="1" ht="19.5" thickBot="1" x14ac:dyDescent="0.35">
      <c r="A123" s="26" t="s">
        <v>18</v>
      </c>
      <c r="B123" s="27"/>
      <c r="C123" s="27"/>
      <c r="D123" s="28"/>
      <c r="E123" s="19" cm="1">
        <f t="array" ref="E123">Nossa_Maximo(E3:E122)</f>
        <v>2998.8</v>
      </c>
      <c r="F123" s="7"/>
      <c r="G123" s="7"/>
      <c r="H123" s="7"/>
    </row>
    <row r="124" spans="1:8" s="8" customFormat="1" ht="19.5" thickBot="1" x14ac:dyDescent="0.35">
      <c r="A124" s="20"/>
      <c r="B124" s="21"/>
      <c r="C124" s="21"/>
      <c r="D124" s="22" t="s">
        <v>8</v>
      </c>
      <c r="E124" s="19" cm="1">
        <f t="array" ref="E124">fnMaximoSes(E3:E122,A3:A122,D124)</f>
        <v>0</v>
      </c>
      <c r="F124" s="7"/>
      <c r="G124" s="7"/>
      <c r="H124" s="7"/>
    </row>
    <row r="125" spans="1:8" s="8" customFormat="1" ht="19.5" thickBot="1" x14ac:dyDescent="0.35">
      <c r="A125" s="6"/>
      <c r="B125" s="4" t="s">
        <v>2</v>
      </c>
      <c r="C125" s="7">
        <f>SUM(C3:C122)</f>
        <v>10136.399999999998</v>
      </c>
      <c r="D125" s="5">
        <f>SUM(D3:D122)</f>
        <v>1273</v>
      </c>
      <c r="E125" s="7">
        <f>SUM(E3:E124)</f>
        <v>110423.00000000001</v>
      </c>
      <c r="F125" s="7"/>
      <c r="G125" s="7"/>
      <c r="H125" s="7"/>
    </row>
  </sheetData>
  <sortState xmlns:xlrd2="http://schemas.microsoft.com/office/spreadsheetml/2017/richdata2" ref="A3:E122">
    <sortCondition descending="1" ref="B3:B122"/>
  </sortState>
  <mergeCells count="2">
    <mergeCell ref="A1:H1"/>
    <mergeCell ref="A123:D1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lanilha">
                <anchor moveWithCells="1" sizeWithCells="1">
                  <from>
                    <xdr:col>4</xdr:col>
                    <xdr:colOff>1247775</xdr:colOff>
                    <xdr:row>0</xdr:row>
                    <xdr:rowOff>38100</xdr:rowOff>
                  </from>
                  <to>
                    <xdr:col>5</xdr:col>
                    <xdr:colOff>752475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4f05b7ab-9a2f-41ed-818c-74617ab702a7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Lucas Abreu</cp:lastModifiedBy>
  <cp:lastPrinted>2019-10-11T14:32:55Z</cp:lastPrinted>
  <dcterms:created xsi:type="dcterms:W3CDTF">2019-10-09T14:30:21Z</dcterms:created>
  <dcterms:modified xsi:type="dcterms:W3CDTF">2022-04-30T14:31:54Z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